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neDrive - UNIVERSIDAD ABIERTA INTERAMERICANA\Documents\Nutrición\Riestra Pre-novena\RIESTRA 2026\"/>
    </mc:Choice>
  </mc:AlternateContent>
  <xr:revisionPtr revIDLastSave="0" documentId="13_ncr:1_{7D0C1A07-B410-45B8-AEA8-5F6038D78D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9" i="1" l="1"/>
  <c r="I39" i="1"/>
  <c r="P38" i="1"/>
  <c r="I38" i="1"/>
  <c r="P37" i="1"/>
  <c r="I37" i="1"/>
  <c r="P36" i="1"/>
  <c r="I36" i="1"/>
  <c r="P35" i="1"/>
  <c r="I35" i="1"/>
  <c r="P34" i="1"/>
  <c r="I34" i="1"/>
  <c r="P33" i="1"/>
  <c r="I33" i="1"/>
  <c r="P32" i="1"/>
  <c r="I32" i="1"/>
  <c r="P31" i="1"/>
  <c r="I31" i="1"/>
  <c r="P30" i="1"/>
  <c r="I30" i="1"/>
  <c r="P29" i="1"/>
  <c r="I29" i="1"/>
  <c r="P28" i="1"/>
  <c r="I28" i="1"/>
  <c r="P27" i="1"/>
  <c r="I27" i="1"/>
  <c r="P26" i="1"/>
  <c r="I26" i="1"/>
  <c r="P25" i="1"/>
  <c r="I25" i="1"/>
  <c r="P24" i="1"/>
  <c r="I24" i="1"/>
  <c r="P23" i="1"/>
  <c r="I23" i="1"/>
  <c r="P22" i="1"/>
  <c r="I22" i="1"/>
  <c r="P21" i="1"/>
  <c r="I21" i="1"/>
  <c r="P20" i="1"/>
  <c r="I20" i="1"/>
  <c r="P19" i="1"/>
  <c r="I19" i="1"/>
  <c r="P18" i="1"/>
  <c r="I18" i="1"/>
  <c r="P17" i="1"/>
  <c r="I17" i="1"/>
  <c r="P16" i="1"/>
  <c r="I16" i="1"/>
  <c r="P15" i="1"/>
  <c r="I15" i="1"/>
  <c r="P14" i="1"/>
  <c r="I14" i="1"/>
  <c r="P13" i="1"/>
  <c r="I13" i="1"/>
  <c r="P12" i="1"/>
  <c r="I12" i="1"/>
  <c r="P11" i="1"/>
  <c r="I11" i="1"/>
  <c r="P10" i="1"/>
  <c r="I10" i="1"/>
  <c r="P9" i="1"/>
  <c r="I9" i="1"/>
  <c r="P8" i="1"/>
  <c r="I8" i="1"/>
  <c r="P7" i="1"/>
  <c r="I7" i="1"/>
  <c r="P6" i="1"/>
  <c r="I6" i="1"/>
  <c r="P5" i="1"/>
  <c r="I5" i="1"/>
  <c r="P4" i="1"/>
  <c r="I4" i="1"/>
  <c r="P3" i="1"/>
  <c r="I3" i="1"/>
  <c r="P2" i="1"/>
  <c r="I2" i="1"/>
</calcChain>
</file>

<file path=xl/sharedStrings.xml><?xml version="1.0" encoding="utf-8"?>
<sst xmlns="http://schemas.openxmlformats.org/spreadsheetml/2006/main" count="95" uniqueCount="83">
  <si>
    <t>Nombre</t>
  </si>
  <si>
    <t>Apellido</t>
  </si>
  <si>
    <t>Fecha Nac</t>
  </si>
  <si>
    <t>Edad</t>
  </si>
  <si>
    <t>Medicion</t>
  </si>
  <si>
    <t>Talla Pie</t>
  </si>
  <si>
    <t>Talla Sent</t>
  </si>
  <si>
    <t>Peso</t>
  </si>
  <si>
    <t>IMC</t>
  </si>
  <si>
    <t>PT</t>
  </si>
  <si>
    <t>PSE</t>
  </si>
  <si>
    <t>PSEsp</t>
  </si>
  <si>
    <t>PAB</t>
  </si>
  <si>
    <t>PM</t>
  </si>
  <si>
    <t>PP</t>
  </si>
  <si>
    <t>Sum. 6 PL</t>
  </si>
  <si>
    <t>Bastian</t>
  </si>
  <si>
    <t>Espinoza</t>
  </si>
  <si>
    <t>Dylan</t>
  </si>
  <si>
    <t>Miranda</t>
  </si>
  <si>
    <t>Luka</t>
  </si>
  <si>
    <t>Lopez</t>
  </si>
  <si>
    <t>Gael</t>
  </si>
  <si>
    <t>Gonzalez</t>
  </si>
  <si>
    <t>Fran</t>
  </si>
  <si>
    <t>Amendola</t>
  </si>
  <si>
    <t>Tomas</t>
  </si>
  <si>
    <t>Marin</t>
  </si>
  <si>
    <t>Joshua</t>
  </si>
  <si>
    <t>Recinas</t>
  </si>
  <si>
    <t>Mateo</t>
  </si>
  <si>
    <t>Toledo</t>
  </si>
  <si>
    <t>Felipe</t>
  </si>
  <si>
    <t>Nasep</t>
  </si>
  <si>
    <t>Bueno</t>
  </si>
  <si>
    <t>Salvatierra</t>
  </si>
  <si>
    <t>Bauti</t>
  </si>
  <si>
    <t>Covello</t>
  </si>
  <si>
    <t>Tiziano</t>
  </si>
  <si>
    <t>Vega</t>
  </si>
  <si>
    <t>Kevin</t>
  </si>
  <si>
    <t>Agustin/Fernandez</t>
  </si>
  <si>
    <t>Valentin</t>
  </si>
  <si>
    <t>Brenta</t>
  </si>
  <si>
    <t>Thiago</t>
  </si>
  <si>
    <t>Cuneo</t>
  </si>
  <si>
    <t>Ciro</t>
  </si>
  <si>
    <t>Padilla</t>
  </si>
  <si>
    <t>Peretti</t>
  </si>
  <si>
    <t>Nahuel</t>
  </si>
  <si>
    <t>Barreto</t>
  </si>
  <si>
    <t>E</t>
  </si>
  <si>
    <t>Aron</t>
  </si>
  <si>
    <t>Yucra</t>
  </si>
  <si>
    <t>Schiavelli</t>
  </si>
  <si>
    <t>Donato</t>
  </si>
  <si>
    <t>Lionel</t>
  </si>
  <si>
    <t>Mamani</t>
  </si>
  <si>
    <t>Mirko</t>
  </si>
  <si>
    <t>Anderson</t>
  </si>
  <si>
    <t>Porfirio</t>
  </si>
  <si>
    <t>Morinigo</t>
  </si>
  <si>
    <t>Morillo</t>
  </si>
  <si>
    <t>Constantino</t>
  </si>
  <si>
    <t>Ezequiel</t>
  </si>
  <si>
    <t>Sanchez</t>
  </si>
  <si>
    <t xml:space="preserve">Ever </t>
  </si>
  <si>
    <t>Ruiz</t>
  </si>
  <si>
    <t>Brando</t>
  </si>
  <si>
    <t>Arzamendia</t>
  </si>
  <si>
    <t>Leonel</t>
  </si>
  <si>
    <t>Baez</t>
  </si>
  <si>
    <t>Ian</t>
  </si>
  <si>
    <t>San martin</t>
  </si>
  <si>
    <t>Lautaro</t>
  </si>
  <si>
    <t>Barrera</t>
  </si>
  <si>
    <t>Byron</t>
  </si>
  <si>
    <t>Ahumada</t>
  </si>
  <si>
    <t>Riveros</t>
  </si>
  <si>
    <t xml:space="preserve">Dante </t>
  </si>
  <si>
    <t>Ramirez</t>
  </si>
  <si>
    <t>Edad PMM</t>
  </si>
  <si>
    <t>para dar PMM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</si>
</sst>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5" borderId="1" xfId="0" applyFill="1" applyBorder="1"/>
    <xf numFmtId="0" fontId="0" fillId="6" borderId="1" xfId="0" applyFill="1" applyBorder="1"/>
    <xf numFmtId="0" fontId="0" fillId="4" borderId="1" xfId="0" applyFill="1" applyBorder="1"/>
    <xf numFmtId="0" fontId="0" fillId="0" borderId="4" xfId="0" applyBorder="1"/>
    <xf numFmtId="14" fontId="0" fillId="0" borderId="4" xfId="0" applyNumberFormat="1" applyBorder="1"/>
    <xf numFmtId="0" fontId="0" fillId="0" borderId="5" xfId="0" applyBorder="1"/>
    <xf numFmtId="0" fontId="0" fillId="0" borderId="6" xfId="0" applyBorder="1"/>
    <xf numFmtId="164" fontId="0" fillId="0" borderId="4" xfId="0" applyNumberFormat="1" applyBorder="1"/>
    <xf numFmtId="0" fontId="0" fillId="6" borderId="4" xfId="0" applyFill="1" applyBorder="1"/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workbookViewId="0">
      <selection activeCell="D2" sqref="D2:D34"/>
    </sheetView>
  </sheetViews>
  <sheetFormatPr baseColWidth="10" defaultColWidth="9.140625" defaultRowHeight="15" x14ac:dyDescent="0.25"/>
  <cols>
    <col min="3" max="3" width="13.85546875" customWidth="1"/>
    <col min="17" max="17" width="10.28515625" bestFit="1" customWidth="1"/>
    <col min="18" max="18" width="13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5" t="s">
        <v>12</v>
      </c>
      <c r="N1" s="3" t="s">
        <v>13</v>
      </c>
      <c r="O1" s="4" t="s">
        <v>14</v>
      </c>
      <c r="P1" s="3" t="s">
        <v>15</v>
      </c>
      <c r="Q1" s="21" t="s">
        <v>81</v>
      </c>
      <c r="R1" s="21" t="s">
        <v>82</v>
      </c>
    </row>
    <row r="2" spans="1:18" x14ac:dyDescent="0.25">
      <c r="A2" s="6" t="s">
        <v>16</v>
      </c>
      <c r="B2" s="6" t="s">
        <v>17</v>
      </c>
      <c r="C2" s="7">
        <v>41439</v>
      </c>
      <c r="D2" s="6">
        <v>12.9</v>
      </c>
      <c r="E2" s="7">
        <v>46056</v>
      </c>
      <c r="F2" s="8">
        <v>1.64</v>
      </c>
      <c r="G2" s="6">
        <v>89</v>
      </c>
      <c r="H2" s="6">
        <v>59.9</v>
      </c>
      <c r="I2" s="9">
        <f>H2/(F2*F2)</f>
        <v>22.270969660916126</v>
      </c>
      <c r="J2" s="6">
        <v>10</v>
      </c>
      <c r="K2" s="10">
        <v>10</v>
      </c>
      <c r="L2" s="6">
        <v>15</v>
      </c>
      <c r="M2" s="11">
        <v>16</v>
      </c>
      <c r="N2" s="6">
        <v>15</v>
      </c>
      <c r="O2" s="10">
        <v>11</v>
      </c>
      <c r="P2" s="12">
        <f>SUM(J2:O2)</f>
        <v>77</v>
      </c>
      <c r="Q2" s="6">
        <v>12.8</v>
      </c>
      <c r="R2" s="6">
        <v>0.1</v>
      </c>
    </row>
    <row r="3" spans="1:18" x14ac:dyDescent="0.25">
      <c r="A3" s="6" t="s">
        <v>18</v>
      </c>
      <c r="B3" s="6" t="s">
        <v>19</v>
      </c>
      <c r="C3" s="7">
        <v>41419</v>
      </c>
      <c r="D3" s="6">
        <v>13</v>
      </c>
      <c r="E3" s="7">
        <v>46056</v>
      </c>
      <c r="F3" s="8">
        <v>1.61</v>
      </c>
      <c r="G3" s="6">
        <v>80</v>
      </c>
      <c r="H3" s="6">
        <v>41.2</v>
      </c>
      <c r="I3" s="9">
        <f t="shared" ref="I3:I39" si="0">H3/(F3*F3)</f>
        <v>15.894448516646733</v>
      </c>
      <c r="J3" s="6">
        <v>7</v>
      </c>
      <c r="K3" s="10">
        <v>5</v>
      </c>
      <c r="L3" s="6">
        <v>7</v>
      </c>
      <c r="M3" s="11">
        <v>12</v>
      </c>
      <c r="N3" s="6">
        <v>11</v>
      </c>
      <c r="O3" s="10">
        <v>5</v>
      </c>
      <c r="P3" s="13">
        <f t="shared" ref="P3:P38" si="1">SUM(J3:O3)</f>
        <v>47</v>
      </c>
      <c r="Q3" s="6">
        <v>14.1</v>
      </c>
      <c r="R3" s="6">
        <v>-1.1000000000000001</v>
      </c>
    </row>
    <row r="4" spans="1:18" x14ac:dyDescent="0.25">
      <c r="A4" s="6" t="s">
        <v>20</v>
      </c>
      <c r="B4" s="6" t="s">
        <v>21</v>
      </c>
      <c r="C4" s="7">
        <v>41471</v>
      </c>
      <c r="D4" s="6">
        <v>12.8</v>
      </c>
      <c r="E4" s="7">
        <v>46056</v>
      </c>
      <c r="F4" s="8">
        <v>1.2</v>
      </c>
      <c r="G4" s="6">
        <v>77</v>
      </c>
      <c r="H4" s="6">
        <v>38</v>
      </c>
      <c r="I4" s="9">
        <f t="shared" si="0"/>
        <v>26.388888888888889</v>
      </c>
      <c r="J4" s="6">
        <v>6</v>
      </c>
      <c r="K4" s="10">
        <v>4</v>
      </c>
      <c r="L4" s="6">
        <v>7</v>
      </c>
      <c r="M4" s="11">
        <v>8</v>
      </c>
      <c r="N4" s="6">
        <v>13</v>
      </c>
      <c r="O4" s="10">
        <v>7</v>
      </c>
      <c r="P4" s="13">
        <f t="shared" si="1"/>
        <v>45</v>
      </c>
      <c r="Q4" s="6">
        <v>14.2</v>
      </c>
      <c r="R4" s="6">
        <v>-1.4</v>
      </c>
    </row>
    <row r="5" spans="1:18" x14ac:dyDescent="0.25">
      <c r="A5" s="6" t="s">
        <v>22</v>
      </c>
      <c r="B5" s="6" t="s">
        <v>23</v>
      </c>
      <c r="C5" s="7">
        <v>41315</v>
      </c>
      <c r="D5" s="6">
        <v>13.3</v>
      </c>
      <c r="E5" s="7">
        <v>46056</v>
      </c>
      <c r="F5" s="8">
        <v>1.51</v>
      </c>
      <c r="G5" s="6">
        <v>77</v>
      </c>
      <c r="H5" s="6">
        <v>42.6</v>
      </c>
      <c r="I5" s="9">
        <f t="shared" si="0"/>
        <v>18.683391079338627</v>
      </c>
      <c r="J5" s="6">
        <v>6</v>
      </c>
      <c r="K5" s="10">
        <v>7</v>
      </c>
      <c r="L5" s="6">
        <v>6</v>
      </c>
      <c r="M5" s="11">
        <v>7</v>
      </c>
      <c r="N5" s="6">
        <v>12</v>
      </c>
      <c r="O5" s="10">
        <v>7</v>
      </c>
      <c r="P5" s="13">
        <f t="shared" si="1"/>
        <v>45</v>
      </c>
      <c r="Q5" s="6">
        <v>14.6</v>
      </c>
      <c r="R5" s="6">
        <v>-1.3</v>
      </c>
    </row>
    <row r="6" spans="1:18" x14ac:dyDescent="0.25">
      <c r="A6" s="6" t="s">
        <v>24</v>
      </c>
      <c r="B6" s="6" t="s">
        <v>25</v>
      </c>
      <c r="C6" s="7">
        <v>41484</v>
      </c>
      <c r="D6" s="6">
        <v>12.8</v>
      </c>
      <c r="E6" s="7">
        <v>46056</v>
      </c>
      <c r="F6" s="8">
        <v>1.44</v>
      </c>
      <c r="G6" s="6">
        <v>70</v>
      </c>
      <c r="H6" s="6">
        <v>31.8</v>
      </c>
      <c r="I6" s="9">
        <f t="shared" si="0"/>
        <v>15.335648148148149</v>
      </c>
      <c r="J6" s="6">
        <v>7</v>
      </c>
      <c r="K6" s="10">
        <v>4</v>
      </c>
      <c r="L6" s="6">
        <v>5</v>
      </c>
      <c r="M6" s="11">
        <v>4</v>
      </c>
      <c r="N6" s="6">
        <v>6</v>
      </c>
      <c r="O6" s="10">
        <v>10</v>
      </c>
      <c r="P6" s="13">
        <f t="shared" si="1"/>
        <v>36</v>
      </c>
      <c r="Q6" s="6">
        <v>15.2</v>
      </c>
      <c r="R6" s="6">
        <v>-2.4</v>
      </c>
    </row>
    <row r="7" spans="1:18" x14ac:dyDescent="0.25">
      <c r="A7" s="6" t="s">
        <v>26</v>
      </c>
      <c r="B7" s="6" t="s">
        <v>27</v>
      </c>
      <c r="C7" s="7">
        <v>41432</v>
      </c>
      <c r="D7" s="6">
        <v>13</v>
      </c>
      <c r="E7" s="7">
        <v>46056</v>
      </c>
      <c r="F7" s="8">
        <v>1.49</v>
      </c>
      <c r="G7" s="6">
        <v>80</v>
      </c>
      <c r="H7" s="6">
        <v>50.1</v>
      </c>
      <c r="I7" s="9">
        <f t="shared" si="0"/>
        <v>22.566551056258728</v>
      </c>
      <c r="J7" s="6">
        <v>11</v>
      </c>
      <c r="K7" s="10">
        <v>10</v>
      </c>
      <c r="L7" s="6">
        <v>13</v>
      </c>
      <c r="M7" s="11">
        <v>20</v>
      </c>
      <c r="N7" s="6">
        <v>18</v>
      </c>
      <c r="O7" s="10">
        <v>15</v>
      </c>
      <c r="P7" s="12">
        <f t="shared" si="1"/>
        <v>87</v>
      </c>
      <c r="Q7" s="6">
        <v>13.9</v>
      </c>
      <c r="R7" s="6">
        <v>-1</v>
      </c>
    </row>
    <row r="8" spans="1:18" x14ac:dyDescent="0.25">
      <c r="A8" s="6" t="s">
        <v>28</v>
      </c>
      <c r="B8" s="6" t="s">
        <v>29</v>
      </c>
      <c r="C8" s="7">
        <v>41428</v>
      </c>
      <c r="D8" s="6">
        <v>13</v>
      </c>
      <c r="E8" s="7">
        <v>46056</v>
      </c>
      <c r="F8" s="8">
        <v>1.61</v>
      </c>
      <c r="G8" s="6">
        <v>85</v>
      </c>
      <c r="H8" s="6">
        <v>46</v>
      </c>
      <c r="I8" s="9">
        <f t="shared" si="0"/>
        <v>17.746228926353147</v>
      </c>
      <c r="J8" s="6">
        <v>5</v>
      </c>
      <c r="K8" s="10">
        <v>5</v>
      </c>
      <c r="L8" s="6">
        <v>6</v>
      </c>
      <c r="M8" s="11">
        <v>7</v>
      </c>
      <c r="N8" s="6">
        <v>7</v>
      </c>
      <c r="O8" s="10">
        <v>6</v>
      </c>
      <c r="P8" s="13">
        <f t="shared" si="1"/>
        <v>36</v>
      </c>
      <c r="Q8" s="6">
        <v>13.5</v>
      </c>
      <c r="R8" s="6">
        <v>-0.5</v>
      </c>
    </row>
    <row r="9" spans="1:18" x14ac:dyDescent="0.25">
      <c r="A9" s="6" t="s">
        <v>30</v>
      </c>
      <c r="B9" s="6" t="s">
        <v>31</v>
      </c>
      <c r="C9" s="7">
        <v>41516</v>
      </c>
      <c r="D9" s="6">
        <v>12.7</v>
      </c>
      <c r="E9" s="7">
        <v>46056</v>
      </c>
      <c r="F9" s="8">
        <v>1.7</v>
      </c>
      <c r="G9" s="6">
        <v>90</v>
      </c>
      <c r="H9" s="6">
        <v>70.2</v>
      </c>
      <c r="I9" s="9">
        <f t="shared" si="0"/>
        <v>24.29065743944637</v>
      </c>
      <c r="J9" s="6">
        <v>11</v>
      </c>
      <c r="K9" s="10">
        <v>9</v>
      </c>
      <c r="L9" s="6">
        <v>13</v>
      </c>
      <c r="M9" s="11">
        <v>16</v>
      </c>
      <c r="N9" s="6">
        <v>11</v>
      </c>
      <c r="O9" s="10">
        <v>9</v>
      </c>
      <c r="P9" s="14">
        <f t="shared" si="1"/>
        <v>69</v>
      </c>
      <c r="Q9" s="6">
        <v>12.5</v>
      </c>
      <c r="R9" s="6">
        <v>0.2</v>
      </c>
    </row>
    <row r="10" spans="1:18" x14ac:dyDescent="0.25">
      <c r="A10" s="6" t="s">
        <v>32</v>
      </c>
      <c r="B10" s="6" t="s">
        <v>33</v>
      </c>
      <c r="C10" s="7">
        <v>41624</v>
      </c>
      <c r="D10" s="6">
        <v>12.4</v>
      </c>
      <c r="E10" s="7">
        <v>46056</v>
      </c>
      <c r="F10" s="8">
        <v>1.45</v>
      </c>
      <c r="G10" s="6">
        <v>76</v>
      </c>
      <c r="H10" s="6">
        <v>36.700000000000003</v>
      </c>
      <c r="I10" s="9">
        <f t="shared" si="0"/>
        <v>17.455410225921522</v>
      </c>
      <c r="J10" s="6">
        <v>6</v>
      </c>
      <c r="K10" s="10">
        <v>4</v>
      </c>
      <c r="L10" s="6">
        <v>3</v>
      </c>
      <c r="M10" s="11">
        <v>5</v>
      </c>
      <c r="N10" s="6">
        <v>5</v>
      </c>
      <c r="O10" s="10">
        <v>7</v>
      </c>
      <c r="P10" s="13">
        <f t="shared" si="1"/>
        <v>30</v>
      </c>
      <c r="Q10" s="6">
        <v>14.3</v>
      </c>
      <c r="R10" s="6">
        <v>-1.8</v>
      </c>
    </row>
    <row r="11" spans="1:18" x14ac:dyDescent="0.25">
      <c r="A11" s="6" t="s">
        <v>24</v>
      </c>
      <c r="B11" s="6" t="s">
        <v>34</v>
      </c>
      <c r="C11" s="7">
        <v>41461</v>
      </c>
      <c r="D11" s="6">
        <v>12.9</v>
      </c>
      <c r="E11" s="7">
        <v>46056</v>
      </c>
      <c r="F11" s="8">
        <v>1.55</v>
      </c>
      <c r="G11" s="6">
        <v>80</v>
      </c>
      <c r="H11" s="6">
        <v>45.3</v>
      </c>
      <c r="I11" s="9">
        <f t="shared" si="0"/>
        <v>18.855359001040579</v>
      </c>
      <c r="J11" s="6">
        <v>11</v>
      </c>
      <c r="K11" s="10">
        <v>5</v>
      </c>
      <c r="L11" s="6">
        <v>4</v>
      </c>
      <c r="M11" s="11">
        <v>5</v>
      </c>
      <c r="N11" s="6">
        <v>9</v>
      </c>
      <c r="O11" s="10">
        <v>6</v>
      </c>
      <c r="P11" s="13">
        <f t="shared" si="1"/>
        <v>40</v>
      </c>
      <c r="Q11" s="6">
        <v>14</v>
      </c>
      <c r="R11" s="6">
        <v>-1.1000000000000001</v>
      </c>
    </row>
    <row r="12" spans="1:18" x14ac:dyDescent="0.25">
      <c r="A12" s="6" t="s">
        <v>16</v>
      </c>
      <c r="B12" s="6" t="s">
        <v>35</v>
      </c>
      <c r="C12" s="7">
        <v>41471</v>
      </c>
      <c r="D12" s="6">
        <v>12.8</v>
      </c>
      <c r="E12" s="7">
        <v>46056</v>
      </c>
      <c r="F12" s="8">
        <v>1.5</v>
      </c>
      <c r="G12" s="6">
        <v>82</v>
      </c>
      <c r="H12" s="6">
        <v>41.3</v>
      </c>
      <c r="I12" s="9">
        <f t="shared" si="0"/>
        <v>18.355555555555554</v>
      </c>
      <c r="J12" s="6">
        <v>10</v>
      </c>
      <c r="K12" s="10">
        <v>6</v>
      </c>
      <c r="L12" s="6">
        <v>8</v>
      </c>
      <c r="M12" s="11">
        <v>10</v>
      </c>
      <c r="N12" s="6">
        <v>11</v>
      </c>
      <c r="O12" s="10">
        <v>6</v>
      </c>
      <c r="P12" s="14">
        <f t="shared" si="1"/>
        <v>51</v>
      </c>
      <c r="Q12" s="6">
        <v>13.8</v>
      </c>
      <c r="R12" s="6">
        <v>-0.9</v>
      </c>
    </row>
    <row r="13" spans="1:18" x14ac:dyDescent="0.25">
      <c r="A13" s="6" t="s">
        <v>36</v>
      </c>
      <c r="B13" s="6" t="s">
        <v>37</v>
      </c>
      <c r="C13" s="7">
        <v>41424</v>
      </c>
      <c r="D13" s="6">
        <v>13</v>
      </c>
      <c r="E13" s="7">
        <v>46056</v>
      </c>
      <c r="F13" s="8">
        <v>1.56</v>
      </c>
      <c r="G13" s="6">
        <v>75</v>
      </c>
      <c r="H13" s="6">
        <v>46.6</v>
      </c>
      <c r="I13" s="9">
        <f t="shared" si="0"/>
        <v>19.148586456278764</v>
      </c>
      <c r="J13" s="6">
        <v>7</v>
      </c>
      <c r="K13" s="10">
        <v>6</v>
      </c>
      <c r="L13" s="6">
        <v>6</v>
      </c>
      <c r="M13" s="11">
        <v>8</v>
      </c>
      <c r="N13" s="6">
        <v>9</v>
      </c>
      <c r="O13" s="10">
        <v>9</v>
      </c>
      <c r="P13" s="13">
        <f t="shared" si="1"/>
        <v>45</v>
      </c>
      <c r="Q13" s="6">
        <v>14.6</v>
      </c>
      <c r="R13" s="6">
        <v>-1.6</v>
      </c>
    </row>
    <row r="14" spans="1:18" x14ac:dyDescent="0.25">
      <c r="A14" s="6" t="s">
        <v>38</v>
      </c>
      <c r="B14" s="6" t="s">
        <v>39</v>
      </c>
      <c r="C14" s="7">
        <v>41429</v>
      </c>
      <c r="D14" s="6">
        <v>13</v>
      </c>
      <c r="E14" s="7">
        <v>46056</v>
      </c>
      <c r="F14" s="8">
        <v>1.53</v>
      </c>
      <c r="G14" s="6">
        <v>79</v>
      </c>
      <c r="H14" s="6">
        <v>39</v>
      </c>
      <c r="I14" s="9">
        <f t="shared" si="0"/>
        <v>16.660258874791747</v>
      </c>
      <c r="J14" s="6">
        <v>13</v>
      </c>
      <c r="K14" s="10">
        <v>5</v>
      </c>
      <c r="L14" s="6">
        <v>8</v>
      </c>
      <c r="M14" s="11">
        <v>9</v>
      </c>
      <c r="N14" s="6">
        <v>15</v>
      </c>
      <c r="O14" s="10">
        <v>8</v>
      </c>
      <c r="P14" s="14">
        <f t="shared" si="1"/>
        <v>58</v>
      </c>
      <c r="Q14" s="6">
        <v>14.2</v>
      </c>
      <c r="R14" s="6">
        <v>-1.3</v>
      </c>
    </row>
    <row r="15" spans="1:18" x14ac:dyDescent="0.25">
      <c r="A15" s="6" t="s">
        <v>40</v>
      </c>
      <c r="B15" s="6" t="s">
        <v>41</v>
      </c>
      <c r="C15" s="7">
        <v>41541</v>
      </c>
      <c r="D15" s="6">
        <v>12.7</v>
      </c>
      <c r="E15" s="7">
        <v>46056</v>
      </c>
      <c r="F15" s="8">
        <v>1.5</v>
      </c>
      <c r="G15" s="6">
        <v>80</v>
      </c>
      <c r="H15" s="6">
        <v>37</v>
      </c>
      <c r="I15" s="9">
        <f t="shared" si="0"/>
        <v>16.444444444444443</v>
      </c>
      <c r="J15" s="6">
        <v>7</v>
      </c>
      <c r="K15" s="10">
        <v>5</v>
      </c>
      <c r="L15" s="6">
        <v>6</v>
      </c>
      <c r="M15" s="11">
        <v>10</v>
      </c>
      <c r="N15" s="6">
        <v>9</v>
      </c>
      <c r="O15" s="10">
        <v>5</v>
      </c>
      <c r="P15" s="13">
        <f t="shared" si="1"/>
        <v>42</v>
      </c>
      <c r="Q15" s="6">
        <v>14</v>
      </c>
      <c r="R15" s="6">
        <v>-1.3</v>
      </c>
    </row>
    <row r="16" spans="1:18" x14ac:dyDescent="0.25">
      <c r="A16" s="6" t="s">
        <v>42</v>
      </c>
      <c r="B16" s="6" t="s">
        <v>43</v>
      </c>
      <c r="C16" s="7">
        <v>41536</v>
      </c>
      <c r="D16" s="6">
        <v>12.7</v>
      </c>
      <c r="E16" s="7">
        <v>46056</v>
      </c>
      <c r="F16" s="8">
        <v>1.59</v>
      </c>
      <c r="G16" s="6">
        <v>79</v>
      </c>
      <c r="H16" s="6">
        <v>38</v>
      </c>
      <c r="I16" s="9">
        <f t="shared" si="0"/>
        <v>15.031050986907163</v>
      </c>
      <c r="J16" s="6">
        <v>7</v>
      </c>
      <c r="K16" s="10">
        <v>4</v>
      </c>
      <c r="L16" s="6">
        <v>5</v>
      </c>
      <c r="M16" s="11">
        <v>6</v>
      </c>
      <c r="N16" s="6">
        <v>12</v>
      </c>
      <c r="O16" s="10">
        <v>8</v>
      </c>
      <c r="P16" s="13">
        <f t="shared" si="1"/>
        <v>42</v>
      </c>
      <c r="Q16" s="6">
        <v>14.1</v>
      </c>
      <c r="R16" s="6">
        <v>-1.4</v>
      </c>
    </row>
    <row r="17" spans="1:18" x14ac:dyDescent="0.25">
      <c r="A17" s="6" t="s">
        <v>44</v>
      </c>
      <c r="B17" s="6" t="s">
        <v>45</v>
      </c>
      <c r="C17" s="7">
        <v>41564</v>
      </c>
      <c r="D17" s="6">
        <v>12.6</v>
      </c>
      <c r="E17" s="7">
        <v>46056</v>
      </c>
      <c r="F17" s="8">
        <v>1.49</v>
      </c>
      <c r="G17" s="6">
        <v>75</v>
      </c>
      <c r="H17" s="6">
        <v>36.9</v>
      </c>
      <c r="I17" s="9">
        <f t="shared" si="0"/>
        <v>16.620872933651636</v>
      </c>
      <c r="J17" s="6">
        <v>6</v>
      </c>
      <c r="K17" s="10">
        <v>4</v>
      </c>
      <c r="L17" s="6">
        <v>5</v>
      </c>
      <c r="M17" s="11">
        <v>6</v>
      </c>
      <c r="N17" s="6">
        <v>12</v>
      </c>
      <c r="O17" s="10">
        <v>6</v>
      </c>
      <c r="P17" s="13">
        <f t="shared" si="1"/>
        <v>39</v>
      </c>
      <c r="Q17" s="6">
        <v>14.5</v>
      </c>
      <c r="R17" s="6">
        <v>-1.9</v>
      </c>
    </row>
    <row r="18" spans="1:18" x14ac:dyDescent="0.25">
      <c r="A18" s="6" t="s">
        <v>46</v>
      </c>
      <c r="B18" s="6" t="s">
        <v>47</v>
      </c>
      <c r="C18" s="7">
        <v>41342</v>
      </c>
      <c r="D18" s="6">
        <v>13.2</v>
      </c>
      <c r="E18" s="7">
        <v>46056</v>
      </c>
      <c r="F18" s="8">
        <v>1.7</v>
      </c>
      <c r="G18" s="6">
        <v>89</v>
      </c>
      <c r="H18" s="6">
        <v>72.099999999999994</v>
      </c>
      <c r="I18" s="9">
        <f t="shared" si="0"/>
        <v>24.94809688581315</v>
      </c>
      <c r="J18" s="6">
        <v>13</v>
      </c>
      <c r="K18" s="10">
        <v>14</v>
      </c>
      <c r="L18" s="6">
        <v>22</v>
      </c>
      <c r="M18" s="11">
        <v>29</v>
      </c>
      <c r="N18" s="6">
        <v>16</v>
      </c>
      <c r="O18" s="10">
        <v>16</v>
      </c>
      <c r="P18" s="12">
        <f t="shared" si="1"/>
        <v>110</v>
      </c>
      <c r="Q18" s="6">
        <v>12.8</v>
      </c>
      <c r="R18" s="6">
        <v>0.4</v>
      </c>
    </row>
    <row r="19" spans="1:18" x14ac:dyDescent="0.25">
      <c r="A19" s="6" t="s">
        <v>42</v>
      </c>
      <c r="B19" s="6" t="s">
        <v>48</v>
      </c>
      <c r="C19" s="7">
        <v>41393</v>
      </c>
      <c r="D19" s="6">
        <v>13.1</v>
      </c>
      <c r="E19" s="7">
        <v>46056</v>
      </c>
      <c r="F19" s="8">
        <v>1.54</v>
      </c>
      <c r="G19" s="6">
        <v>79</v>
      </c>
      <c r="H19" s="6">
        <v>47.7</v>
      </c>
      <c r="I19" s="9">
        <f t="shared" si="0"/>
        <v>20.113003879237649</v>
      </c>
      <c r="J19" s="6">
        <v>13</v>
      </c>
      <c r="K19" s="10">
        <v>7</v>
      </c>
      <c r="L19" s="6">
        <v>7</v>
      </c>
      <c r="M19" s="11">
        <v>10</v>
      </c>
      <c r="N19" s="6">
        <v>12</v>
      </c>
      <c r="O19" s="10">
        <v>10</v>
      </c>
      <c r="P19" s="14">
        <f t="shared" si="1"/>
        <v>59</v>
      </c>
      <c r="Q19" s="6">
        <v>14.2</v>
      </c>
      <c r="R19" s="6">
        <v>-1.1000000000000001</v>
      </c>
    </row>
    <row r="20" spans="1:18" x14ac:dyDescent="0.25">
      <c r="A20" s="6" t="s">
        <v>49</v>
      </c>
      <c r="B20" s="6" t="s">
        <v>50</v>
      </c>
      <c r="C20" s="7">
        <v>41332</v>
      </c>
      <c r="D20" s="6">
        <v>13.2</v>
      </c>
      <c r="E20" s="7">
        <v>46056</v>
      </c>
      <c r="F20" s="6">
        <v>1.65</v>
      </c>
      <c r="G20" s="6">
        <v>87</v>
      </c>
      <c r="H20" s="6">
        <v>54.2</v>
      </c>
      <c r="I20" s="9">
        <f t="shared" si="0"/>
        <v>19.908172635445364</v>
      </c>
      <c r="J20" s="6">
        <v>6</v>
      </c>
      <c r="K20" s="10">
        <v>6</v>
      </c>
      <c r="L20" s="6">
        <v>7</v>
      </c>
      <c r="M20" s="11">
        <v>9</v>
      </c>
      <c r="N20" s="6" t="s">
        <v>51</v>
      </c>
      <c r="O20" s="10">
        <v>6</v>
      </c>
      <c r="P20" s="13">
        <f t="shared" si="1"/>
        <v>34</v>
      </c>
      <c r="Q20" s="6">
        <v>13.3</v>
      </c>
      <c r="R20" s="6">
        <v>-0.1</v>
      </c>
    </row>
    <row r="21" spans="1:18" x14ac:dyDescent="0.25">
      <c r="A21" s="6" t="s">
        <v>52</v>
      </c>
      <c r="B21" s="6" t="s">
        <v>53</v>
      </c>
      <c r="C21" s="7">
        <v>41334</v>
      </c>
      <c r="D21" s="6">
        <v>13.2</v>
      </c>
      <c r="E21" s="7">
        <v>46056</v>
      </c>
      <c r="F21" s="6">
        <v>1.62</v>
      </c>
      <c r="G21" s="6">
        <v>86</v>
      </c>
      <c r="H21" s="6">
        <v>54.3</v>
      </c>
      <c r="I21" s="9">
        <f t="shared" si="0"/>
        <v>20.690443529949697</v>
      </c>
      <c r="J21" s="6">
        <v>10</v>
      </c>
      <c r="K21" s="10">
        <v>5</v>
      </c>
      <c r="L21" s="6">
        <v>10</v>
      </c>
      <c r="M21" s="11">
        <v>10</v>
      </c>
      <c r="N21" s="6">
        <v>5</v>
      </c>
      <c r="O21" s="10">
        <v>8</v>
      </c>
      <c r="P21" s="13">
        <f t="shared" si="1"/>
        <v>48</v>
      </c>
      <c r="Q21" s="6">
        <v>13.4</v>
      </c>
      <c r="R21" s="6">
        <v>-0.2</v>
      </c>
    </row>
    <row r="22" spans="1:18" x14ac:dyDescent="0.25">
      <c r="A22" s="6" t="s">
        <v>46</v>
      </c>
      <c r="B22" s="6" t="s">
        <v>54</v>
      </c>
      <c r="C22" s="7">
        <v>41342</v>
      </c>
      <c r="D22" s="6">
        <v>13.2</v>
      </c>
      <c r="E22" s="7">
        <v>46056</v>
      </c>
      <c r="F22" s="6">
        <v>1.52</v>
      </c>
      <c r="G22" s="6">
        <v>81</v>
      </c>
      <c r="H22" s="6">
        <v>47.9</v>
      </c>
      <c r="I22" s="9">
        <f t="shared" si="0"/>
        <v>20.732340720221607</v>
      </c>
      <c r="J22" s="6">
        <v>10</v>
      </c>
      <c r="K22" s="10">
        <v>5</v>
      </c>
      <c r="L22" s="6">
        <v>9</v>
      </c>
      <c r="M22" s="11">
        <v>9</v>
      </c>
      <c r="N22" s="6">
        <v>11</v>
      </c>
      <c r="O22" s="10">
        <v>10</v>
      </c>
      <c r="P22" s="14">
        <f t="shared" si="1"/>
        <v>54</v>
      </c>
      <c r="Q22" s="6">
        <v>14</v>
      </c>
      <c r="R22" s="6">
        <v>-0.8</v>
      </c>
    </row>
    <row r="23" spans="1:18" x14ac:dyDescent="0.25">
      <c r="A23" s="6" t="s">
        <v>55</v>
      </c>
      <c r="B23" s="6" t="s">
        <v>23</v>
      </c>
      <c r="C23" s="7">
        <v>41348</v>
      </c>
      <c r="D23" s="6">
        <v>13.2</v>
      </c>
      <c r="E23" s="7">
        <v>46056</v>
      </c>
      <c r="F23" s="6">
        <v>1.68</v>
      </c>
      <c r="G23" s="6">
        <v>85</v>
      </c>
      <c r="H23" s="6">
        <v>54.5</v>
      </c>
      <c r="I23" s="9">
        <f t="shared" si="0"/>
        <v>19.309807256235832</v>
      </c>
      <c r="J23" s="6">
        <v>6</v>
      </c>
      <c r="K23" s="10">
        <v>5</v>
      </c>
      <c r="L23" s="6">
        <v>6</v>
      </c>
      <c r="M23" s="11">
        <v>9</v>
      </c>
      <c r="N23" s="6">
        <v>10</v>
      </c>
      <c r="O23" s="10">
        <v>7</v>
      </c>
      <c r="P23" s="13">
        <f t="shared" si="1"/>
        <v>43</v>
      </c>
      <c r="Q23" s="6">
        <v>13.5</v>
      </c>
      <c r="R23" s="6">
        <v>-0.3</v>
      </c>
    </row>
    <row r="24" spans="1:18" x14ac:dyDescent="0.25">
      <c r="A24" s="6" t="s">
        <v>56</v>
      </c>
      <c r="B24" s="6" t="s">
        <v>57</v>
      </c>
      <c r="C24" s="7">
        <v>41289</v>
      </c>
      <c r="D24" s="6">
        <v>13.3</v>
      </c>
      <c r="E24" s="7">
        <v>46056</v>
      </c>
      <c r="F24" s="6">
        <v>1.41</v>
      </c>
      <c r="G24" s="6">
        <v>71</v>
      </c>
      <c r="H24" s="6">
        <v>29.8</v>
      </c>
      <c r="I24" s="9">
        <f t="shared" si="0"/>
        <v>14.989185654645141</v>
      </c>
      <c r="J24" s="6">
        <v>6</v>
      </c>
      <c r="K24" s="10">
        <v>4</v>
      </c>
      <c r="L24" s="10">
        <v>3</v>
      </c>
      <c r="M24" s="11">
        <v>4</v>
      </c>
      <c r="N24" s="6">
        <v>8</v>
      </c>
      <c r="O24" s="10">
        <v>5</v>
      </c>
      <c r="P24" s="13">
        <f t="shared" si="1"/>
        <v>30</v>
      </c>
      <c r="Q24" s="6">
        <v>15.5</v>
      </c>
      <c r="R24" s="6">
        <v>-2.1</v>
      </c>
    </row>
    <row r="25" spans="1:18" x14ac:dyDescent="0.25">
      <c r="A25" s="6" t="s">
        <v>58</v>
      </c>
      <c r="B25" s="6" t="s">
        <v>59</v>
      </c>
      <c r="C25" s="7">
        <v>41350</v>
      </c>
      <c r="D25" s="6">
        <v>13.2</v>
      </c>
      <c r="E25" s="7">
        <v>46056</v>
      </c>
      <c r="F25" s="6">
        <v>1.53</v>
      </c>
      <c r="G25" s="6">
        <v>82</v>
      </c>
      <c r="H25" s="6">
        <v>46.2</v>
      </c>
      <c r="I25" s="9">
        <f t="shared" si="0"/>
        <v>19.735998974753301</v>
      </c>
      <c r="J25" s="6">
        <v>7</v>
      </c>
      <c r="K25" s="10">
        <v>5</v>
      </c>
      <c r="L25" s="6">
        <v>5</v>
      </c>
      <c r="M25" s="11">
        <v>6</v>
      </c>
      <c r="N25" s="6">
        <v>9</v>
      </c>
      <c r="O25" s="10">
        <v>7</v>
      </c>
      <c r="P25" s="13">
        <f t="shared" si="1"/>
        <v>39</v>
      </c>
      <c r="Q25" s="6">
        <v>13.9</v>
      </c>
      <c r="R25" s="6">
        <v>-0.7</v>
      </c>
    </row>
    <row r="26" spans="1:18" x14ac:dyDescent="0.25">
      <c r="A26" s="6" t="s">
        <v>60</v>
      </c>
      <c r="B26" s="6" t="s">
        <v>61</v>
      </c>
      <c r="C26" s="7">
        <v>41492</v>
      </c>
      <c r="D26" s="6">
        <v>12.8</v>
      </c>
      <c r="E26" s="7">
        <v>46056</v>
      </c>
      <c r="F26" s="6">
        <v>1.43</v>
      </c>
      <c r="G26" s="6">
        <v>77</v>
      </c>
      <c r="H26" s="6">
        <v>38.700000000000003</v>
      </c>
      <c r="I26" s="9">
        <f t="shared" si="0"/>
        <v>18.925130813242706</v>
      </c>
      <c r="J26" s="6">
        <v>11</v>
      </c>
      <c r="K26" s="10">
        <v>5</v>
      </c>
      <c r="L26" s="6">
        <v>8</v>
      </c>
      <c r="M26" s="11">
        <v>10</v>
      </c>
      <c r="N26" s="6">
        <v>15</v>
      </c>
      <c r="O26" s="10">
        <v>7</v>
      </c>
      <c r="P26" s="14">
        <f t="shared" si="1"/>
        <v>56</v>
      </c>
      <c r="Q26" s="6">
        <v>14.3</v>
      </c>
      <c r="R26" s="6">
        <v>-1.5</v>
      </c>
    </row>
    <row r="27" spans="1:18" x14ac:dyDescent="0.25">
      <c r="A27" s="15" t="s">
        <v>44</v>
      </c>
      <c r="B27" s="15" t="s">
        <v>62</v>
      </c>
      <c r="C27" s="16">
        <v>41368</v>
      </c>
      <c r="D27" s="6">
        <v>13.1</v>
      </c>
      <c r="E27" s="7">
        <v>46056</v>
      </c>
      <c r="F27" s="15">
        <v>1.41</v>
      </c>
      <c r="G27" s="15">
        <v>79</v>
      </c>
      <c r="H27" s="15">
        <v>37.700000000000003</v>
      </c>
      <c r="I27" s="9">
        <f t="shared" si="0"/>
        <v>18.962828831547714</v>
      </c>
      <c r="J27" s="15">
        <v>6</v>
      </c>
      <c r="K27" s="17">
        <v>5</v>
      </c>
      <c r="L27" s="15">
        <v>5</v>
      </c>
      <c r="M27" s="18">
        <v>7</v>
      </c>
      <c r="N27" s="15">
        <v>8</v>
      </c>
      <c r="O27" s="17">
        <v>4</v>
      </c>
      <c r="P27" s="13">
        <f t="shared" si="1"/>
        <v>35</v>
      </c>
      <c r="Q27" s="6">
        <v>14.3</v>
      </c>
      <c r="R27" s="6">
        <v>-1.2</v>
      </c>
    </row>
    <row r="28" spans="1:18" x14ac:dyDescent="0.25">
      <c r="A28" s="6" t="s">
        <v>38</v>
      </c>
      <c r="B28" s="6" t="s">
        <v>63</v>
      </c>
      <c r="C28" s="7">
        <v>41289</v>
      </c>
      <c r="D28" s="6">
        <v>13.3</v>
      </c>
      <c r="E28" s="7">
        <v>46056</v>
      </c>
      <c r="F28" s="6">
        <v>1.67</v>
      </c>
      <c r="G28" s="6">
        <v>88</v>
      </c>
      <c r="H28" s="6">
        <v>47.6</v>
      </c>
      <c r="I28" s="9">
        <f t="shared" si="0"/>
        <v>17.067661085015597</v>
      </c>
      <c r="J28" s="6">
        <v>7</v>
      </c>
      <c r="K28" s="6">
        <v>5</v>
      </c>
      <c r="L28" s="6">
        <v>5</v>
      </c>
      <c r="M28" s="6">
        <v>7</v>
      </c>
      <c r="N28" s="6">
        <v>8</v>
      </c>
      <c r="O28" s="6">
        <v>9</v>
      </c>
      <c r="P28" s="13">
        <f t="shared" si="1"/>
        <v>41</v>
      </c>
      <c r="Q28" s="6">
        <v>13.3</v>
      </c>
      <c r="R28" s="6">
        <v>0</v>
      </c>
    </row>
    <row r="29" spans="1:18" x14ac:dyDescent="0.25">
      <c r="A29" s="6" t="s">
        <v>64</v>
      </c>
      <c r="B29" s="6" t="s">
        <v>65</v>
      </c>
      <c r="C29" s="7">
        <v>41319</v>
      </c>
      <c r="D29" s="6">
        <v>13.3</v>
      </c>
      <c r="E29" s="7">
        <v>46056</v>
      </c>
      <c r="F29" s="6">
        <v>1.55</v>
      </c>
      <c r="G29" s="6">
        <v>80</v>
      </c>
      <c r="H29" s="6">
        <v>43.4</v>
      </c>
      <c r="I29" s="9">
        <f t="shared" si="0"/>
        <v>18.064516129032256</v>
      </c>
      <c r="J29" s="6">
        <v>5</v>
      </c>
      <c r="K29" s="6">
        <v>4</v>
      </c>
      <c r="L29" s="6">
        <v>6</v>
      </c>
      <c r="M29" s="6">
        <v>6</v>
      </c>
      <c r="N29" s="6">
        <v>8</v>
      </c>
      <c r="O29" s="6">
        <v>5</v>
      </c>
      <c r="P29" s="13">
        <f t="shared" si="1"/>
        <v>34</v>
      </c>
      <c r="Q29" s="6">
        <v>14.2</v>
      </c>
      <c r="R29" s="6">
        <v>-1</v>
      </c>
    </row>
    <row r="30" spans="1:18" x14ac:dyDescent="0.25">
      <c r="A30" s="15" t="s">
        <v>66</v>
      </c>
      <c r="B30" s="15" t="s">
        <v>67</v>
      </c>
      <c r="C30" s="16">
        <v>41302</v>
      </c>
      <c r="D30" s="6">
        <v>13.3</v>
      </c>
      <c r="E30" s="16">
        <v>46056</v>
      </c>
      <c r="F30" s="15">
        <v>1.57</v>
      </c>
      <c r="G30" s="15">
        <v>83</v>
      </c>
      <c r="H30" s="15">
        <v>47.7</v>
      </c>
      <c r="I30" s="19">
        <f t="shared" si="0"/>
        <v>19.351697837640472</v>
      </c>
      <c r="J30" s="15">
        <v>7</v>
      </c>
      <c r="K30" s="15">
        <v>7</v>
      </c>
      <c r="L30" s="15">
        <v>9</v>
      </c>
      <c r="M30" s="15">
        <v>7</v>
      </c>
      <c r="N30" s="15">
        <v>11</v>
      </c>
      <c r="O30" s="15">
        <v>8</v>
      </c>
      <c r="P30" s="20">
        <f t="shared" si="1"/>
        <v>49</v>
      </c>
      <c r="Q30" s="6">
        <v>13.9</v>
      </c>
      <c r="R30" s="6">
        <v>-0.5</v>
      </c>
    </row>
    <row r="31" spans="1:18" x14ac:dyDescent="0.25">
      <c r="A31" s="6" t="s">
        <v>68</v>
      </c>
      <c r="B31" s="6" t="s">
        <v>69</v>
      </c>
      <c r="C31" s="7">
        <v>41384</v>
      </c>
      <c r="D31" s="6">
        <v>13.1</v>
      </c>
      <c r="E31" s="6"/>
      <c r="F31" s="6">
        <v>1.72</v>
      </c>
      <c r="G31" s="6">
        <v>90</v>
      </c>
      <c r="H31" s="6">
        <v>69</v>
      </c>
      <c r="I31" s="9">
        <f t="shared" si="0"/>
        <v>23.323418063818284</v>
      </c>
      <c r="J31" s="6">
        <v>8</v>
      </c>
      <c r="K31" s="6">
        <v>9</v>
      </c>
      <c r="L31" s="6">
        <v>9</v>
      </c>
      <c r="M31" s="6">
        <v>20</v>
      </c>
      <c r="N31" s="6">
        <v>8</v>
      </c>
      <c r="O31" s="6">
        <v>14</v>
      </c>
      <c r="P31" s="14">
        <f t="shared" si="1"/>
        <v>68</v>
      </c>
      <c r="Q31" s="6">
        <v>12.7</v>
      </c>
      <c r="R31" s="6">
        <v>0.4</v>
      </c>
    </row>
    <row r="32" spans="1:18" x14ac:dyDescent="0.25">
      <c r="A32" s="6" t="s">
        <v>70</v>
      </c>
      <c r="B32" s="6" t="s">
        <v>71</v>
      </c>
      <c r="C32" s="6"/>
      <c r="D32" s="6">
        <v>12.5</v>
      </c>
      <c r="E32" s="6"/>
      <c r="F32" s="6"/>
      <c r="G32" s="6"/>
      <c r="H32" s="6"/>
      <c r="I32" s="9" t="e">
        <f t="shared" si="0"/>
        <v>#DIV/0!</v>
      </c>
      <c r="J32" s="6"/>
      <c r="K32" s="6"/>
      <c r="L32" s="6"/>
      <c r="M32" s="6"/>
      <c r="N32" s="6"/>
      <c r="O32" s="6"/>
      <c r="P32" s="6">
        <f t="shared" si="1"/>
        <v>0</v>
      </c>
      <c r="Q32" s="6">
        <v>12.8</v>
      </c>
      <c r="R32" s="6">
        <v>-0.4</v>
      </c>
    </row>
    <row r="33" spans="1:18" x14ac:dyDescent="0.25">
      <c r="A33" s="6" t="s">
        <v>72</v>
      </c>
      <c r="B33" s="6" t="s">
        <v>73</v>
      </c>
      <c r="C33" s="6"/>
      <c r="D33" s="6">
        <v>12.6</v>
      </c>
      <c r="E33" s="6"/>
      <c r="F33" s="6"/>
      <c r="G33" s="6"/>
      <c r="H33" s="6"/>
      <c r="I33" s="9" t="e">
        <f t="shared" si="0"/>
        <v>#DIV/0!</v>
      </c>
      <c r="J33" s="6"/>
      <c r="K33" s="6"/>
      <c r="L33" s="6"/>
      <c r="M33" s="6"/>
      <c r="N33" s="6"/>
      <c r="O33" s="6"/>
      <c r="P33" s="6">
        <f t="shared" si="1"/>
        <v>0</v>
      </c>
      <c r="Q33" s="6">
        <v>12.7</v>
      </c>
      <c r="R33" s="6">
        <v>-0.2</v>
      </c>
    </row>
    <row r="34" spans="1:18" x14ac:dyDescent="0.25">
      <c r="A34" s="6" t="s">
        <v>74</v>
      </c>
      <c r="B34" s="6" t="s">
        <v>75</v>
      </c>
      <c r="C34" s="7">
        <v>41604</v>
      </c>
      <c r="D34" s="6">
        <v>13.1</v>
      </c>
      <c r="E34" s="6"/>
      <c r="F34" s="6">
        <v>1.63</v>
      </c>
      <c r="G34" s="6"/>
      <c r="H34" s="6">
        <v>58.9</v>
      </c>
      <c r="I34" s="9">
        <f t="shared" si="0"/>
        <v>22.168692837517408</v>
      </c>
      <c r="J34" s="6">
        <v>10</v>
      </c>
      <c r="K34" s="6">
        <v>8</v>
      </c>
      <c r="L34" s="6">
        <v>15</v>
      </c>
      <c r="M34" s="6">
        <v>22</v>
      </c>
      <c r="N34" s="6">
        <v>15</v>
      </c>
      <c r="O34" s="6">
        <v>15</v>
      </c>
      <c r="P34" s="12">
        <f t="shared" si="1"/>
        <v>85</v>
      </c>
      <c r="Q34" s="6">
        <v>13.3</v>
      </c>
      <c r="R34" s="6">
        <v>-0.2</v>
      </c>
    </row>
    <row r="35" spans="1:18" x14ac:dyDescent="0.25">
      <c r="A35" s="6" t="s">
        <v>76</v>
      </c>
      <c r="B35" s="6" t="s">
        <v>23</v>
      </c>
      <c r="C35" s="7">
        <v>41572</v>
      </c>
      <c r="D35" s="6"/>
      <c r="E35" s="6"/>
      <c r="F35" s="6">
        <v>1.64</v>
      </c>
      <c r="G35" s="6"/>
      <c r="H35" s="6">
        <v>60.9</v>
      </c>
      <c r="I35" s="9">
        <f t="shared" si="0"/>
        <v>22.642772159428915</v>
      </c>
      <c r="J35" s="6">
        <v>7</v>
      </c>
      <c r="K35" s="6">
        <v>7</v>
      </c>
      <c r="L35" s="6">
        <v>11</v>
      </c>
      <c r="M35" s="6">
        <v>12</v>
      </c>
      <c r="N35" s="6">
        <v>6</v>
      </c>
      <c r="O35" s="6">
        <v>8</v>
      </c>
      <c r="P35" s="13">
        <f t="shared" si="1"/>
        <v>51</v>
      </c>
      <c r="Q35" s="6"/>
      <c r="R35" s="6"/>
    </row>
    <row r="36" spans="1:18" x14ac:dyDescent="0.25">
      <c r="A36" s="6" t="s">
        <v>44</v>
      </c>
      <c r="B36" s="6" t="s">
        <v>77</v>
      </c>
      <c r="C36" s="7">
        <v>41387</v>
      </c>
      <c r="D36" s="6"/>
      <c r="E36" s="6"/>
      <c r="F36" s="6">
        <v>1.62</v>
      </c>
      <c r="G36" s="6"/>
      <c r="H36" s="6">
        <v>53.5</v>
      </c>
      <c r="I36" s="9">
        <f t="shared" si="0"/>
        <v>20.385611949397955</v>
      </c>
      <c r="J36" s="6">
        <v>10</v>
      </c>
      <c r="K36" s="6">
        <v>10</v>
      </c>
      <c r="L36" s="6">
        <v>12</v>
      </c>
      <c r="M36" s="6">
        <v>20</v>
      </c>
      <c r="N36" s="6">
        <v>7</v>
      </c>
      <c r="O36" s="6">
        <v>14</v>
      </c>
      <c r="P36" s="14">
        <f t="shared" si="1"/>
        <v>73</v>
      </c>
      <c r="Q36" s="6"/>
      <c r="R36" s="6"/>
    </row>
    <row r="37" spans="1:18" x14ac:dyDescent="0.25">
      <c r="A37" s="6" t="s">
        <v>44</v>
      </c>
      <c r="B37" s="6" t="s">
        <v>78</v>
      </c>
      <c r="C37" s="6"/>
      <c r="D37" s="6"/>
      <c r="E37" s="6"/>
      <c r="F37" s="6"/>
      <c r="G37" s="6"/>
      <c r="H37" s="6"/>
      <c r="I37" s="9" t="e">
        <f t="shared" si="0"/>
        <v>#DIV/0!</v>
      </c>
      <c r="J37" s="6"/>
      <c r="K37" s="6"/>
      <c r="L37" s="6"/>
      <c r="M37" s="6"/>
      <c r="N37" s="6"/>
      <c r="O37" s="6"/>
      <c r="P37" s="14">
        <f t="shared" si="1"/>
        <v>0</v>
      </c>
      <c r="Q37" s="6"/>
      <c r="R37" s="6"/>
    </row>
    <row r="38" spans="1:18" x14ac:dyDescent="0.25">
      <c r="A38" s="6" t="s">
        <v>79</v>
      </c>
      <c r="B38" s="6" t="s">
        <v>80</v>
      </c>
      <c r="C38" s="7">
        <v>41498</v>
      </c>
      <c r="D38" s="6"/>
      <c r="E38" s="7">
        <v>46175</v>
      </c>
      <c r="F38" s="6">
        <v>1.72</v>
      </c>
      <c r="G38" s="6">
        <v>85</v>
      </c>
      <c r="H38" s="6">
        <v>65</v>
      </c>
      <c r="I38" s="9">
        <f t="shared" si="0"/>
        <v>21.971335857220122</v>
      </c>
      <c r="J38" s="6">
        <v>13</v>
      </c>
      <c r="K38" s="6">
        <v>10</v>
      </c>
      <c r="L38" s="6">
        <v>14</v>
      </c>
      <c r="M38" s="6">
        <v>21</v>
      </c>
      <c r="N38" s="6">
        <v>14</v>
      </c>
      <c r="O38" s="6">
        <v>13</v>
      </c>
      <c r="P38" s="14">
        <f t="shared" si="1"/>
        <v>85</v>
      </c>
      <c r="Q38" s="6"/>
      <c r="R38" s="6"/>
    </row>
    <row r="39" spans="1:18" x14ac:dyDescent="0.25">
      <c r="A39" s="6" t="s">
        <v>72</v>
      </c>
      <c r="B39" s="6" t="s">
        <v>73</v>
      </c>
      <c r="C39" s="7">
        <v>41349</v>
      </c>
      <c r="D39" s="6"/>
      <c r="E39" s="7">
        <v>46175</v>
      </c>
      <c r="F39" s="6">
        <v>1.63</v>
      </c>
      <c r="G39" s="6">
        <v>86</v>
      </c>
      <c r="H39" s="6">
        <v>45.2</v>
      </c>
      <c r="I39" s="9">
        <f t="shared" si="0"/>
        <v>17.01230757649893</v>
      </c>
      <c r="J39" s="6">
        <v>7</v>
      </c>
      <c r="K39" s="6">
        <v>6</v>
      </c>
      <c r="L39" s="6">
        <v>7</v>
      </c>
      <c r="M39" s="6">
        <v>7</v>
      </c>
      <c r="N39" s="6">
        <v>5</v>
      </c>
      <c r="O39" s="6">
        <v>9</v>
      </c>
      <c r="P39" s="6">
        <f>SUM(J39:O39)</f>
        <v>41</v>
      </c>
      <c r="Q39" s="6"/>
      <c r="R3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Santagada.</dc:creator>
  <cp:lastModifiedBy>Santagada, Leandro Tomas</cp:lastModifiedBy>
  <dcterms:created xsi:type="dcterms:W3CDTF">2015-06-05T18:19:34Z</dcterms:created>
  <dcterms:modified xsi:type="dcterms:W3CDTF">2026-06-18T19:38:52Z</dcterms:modified>
</cp:coreProperties>
</file>